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ccpreit-my.sharepoint.com/personal/admin_sccpreit_com/Documents/REIT-Share/internal-use/02-tprime/research/reit-industry-2025/"/>
    </mc:Choice>
  </mc:AlternateContent>
  <xr:revisionPtr revIDLastSave="430" documentId="8_{5C84AA9D-E047-4E4A-A62E-FD63D8C984B7}" xr6:coauthVersionLast="47" xr6:coauthVersionMax="47" xr10:uidLastSave="{5C180FD1-8BAD-4A9D-93BA-016DE173266D}"/>
  <bookViews>
    <workbookView xWindow="-28920" yWindow="-120" windowWidth="29040" windowHeight="15720" xr2:uid="{37C9D683-CAC8-473F-89AC-48409A889DFD}"/>
  </bookViews>
  <sheets>
    <sheet name="reit-transaction-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23" i="1"/>
  <c r="I24" i="1"/>
</calcChain>
</file>

<file path=xl/sharedStrings.xml><?xml version="1.0" encoding="utf-8"?>
<sst xmlns="http://schemas.openxmlformats.org/spreadsheetml/2006/main" count="173" uniqueCount="84">
  <si>
    <t>Thai REIT Transactions 2025</t>
  </si>
  <si>
    <t>REIT Name</t>
  </si>
  <si>
    <t>Symbol</t>
  </si>
  <si>
    <t>Industry</t>
  </si>
  <si>
    <t>Transaction Type</t>
  </si>
  <si>
    <t>Seller</t>
  </si>
  <si>
    <t>Status</t>
  </si>
  <si>
    <t>Asset Details / Project Name</t>
  </si>
  <si>
    <t>Additional Asset Acquisition No.</t>
  </si>
  <si>
    <t>Transaction Size / Value in THB mn</t>
  </si>
  <si>
    <t>Funding Method</t>
  </si>
  <si>
    <t>Key Dates (2025)</t>
  </si>
  <si>
    <t>ONYX Leasehold Real Estate Investment Trust</t>
  </si>
  <si>
    <t>ONYXRT</t>
  </si>
  <si>
    <t>Hospitality</t>
  </si>
  <si>
    <t>IPO</t>
  </si>
  <si>
    <t>Sponsor</t>
  </si>
  <si>
    <t>In progress</t>
  </si>
  <si>
    <t>Hospitality: 4 Hotels:
1. Amari Bangkok
2. Amari Pattaya
3. OZO Pattaya
4. OZO Phuket</t>
  </si>
  <si>
    <t>Initial Public Offering (IPO) / debt</t>
  </si>
  <si>
    <t>Approved: Dec 12
Filing Status: Effective</t>
  </si>
  <si>
    <t>Frasers Property Thailand Industrial Real Estate Investment Trust</t>
  </si>
  <si>
    <t>FTREIT</t>
  </si>
  <si>
    <t>Industrial</t>
  </si>
  <si>
    <t>Asset Acquisition</t>
  </si>
  <si>
    <t>Industrial: Freehold Factories &amp; Warehouses from FPT &amp; FPIT (46,575 sqm)</t>
  </si>
  <si>
    <t>n/a</t>
  </si>
  <si>
    <t>Report Date: 
- 1st Sep 17 : 1466.9M
- 2nd Nov 28: 218.8M
Plan Announced: Aug 20 THB 1920M</t>
  </si>
  <si>
    <t>AIM Industrial Growth Real Estate Investment Trust</t>
  </si>
  <si>
    <t>AIMIRT</t>
  </si>
  <si>
    <t>3rd Parties</t>
  </si>
  <si>
    <t>Completed</t>
  </si>
  <si>
    <t>Industrial: Precision Valve Project 
Ownership of Land &amp; Factory/Warehouse buildings (Freehold)</t>
  </si>
  <si>
    <t>Debt / Internal Cash</t>
  </si>
  <si>
    <t>Ally Leasehold Real Estate Investment Trust</t>
  </si>
  <si>
    <t>ALLY</t>
  </si>
  <si>
    <t>Retail</t>
  </si>
  <si>
    <t>Retail: T10 Project, sub-leasehold rights to land on Tiwanon Rd., Nonthaburi, leasehold rights over two commercial buildings totaling 2,397.25 sq.m, plus movable assets.</t>
  </si>
  <si>
    <t>INET Leasehold Real Estate Investment Trust</t>
  </si>
  <si>
    <t>INETREIT</t>
  </si>
  <si>
    <t>Data Center</t>
  </si>
  <si>
    <t>PO</t>
  </si>
  <si>
    <t>Digital Infra: Data Center Assets Expansion of INET-IDC3 project</t>
  </si>
  <si>
    <t>Capital Increase (PO) (290M units) / Debt</t>
  </si>
  <si>
    <t>Filing Date: July 09 
Effective: Oct 29</t>
  </si>
  <si>
    <t>Axtra Future City REIT</t>
  </si>
  <si>
    <t>AXTRART</t>
  </si>
  <si>
    <t>Retail: Life Xpress Chiangmai Project 1,727 sqm (leasehold)</t>
  </si>
  <si>
    <t>Internal Cash / Debt</t>
  </si>
  <si>
    <t>CPN Retail Growth Leasehold Reit</t>
  </si>
  <si>
    <t>CPNREIT</t>
  </si>
  <si>
    <t>Central Rama 2 shopping mall 30-year lease renewal (Aug 2025-2055), first 10-year payment and additional area of 1,734.56 sqm</t>
  </si>
  <si>
    <t>Prospect Logistics And Industrial Freehold And Leasehold Real Estate Investment Trust</t>
  </si>
  <si>
    <t>PROSPECT</t>
  </si>
  <si>
    <t>Bangkok Free Trade Zone 1, 2 &amp; 3 warehouse/factory buildings (221,678 sqm across Bangna-Trad Km.23, Theparak Road, Bangna-Trad Km.19)</t>
  </si>
  <si>
    <t>Capital Increase (PO) (310M units at THB 7.20/unit) / Debt up to THB 1,450M</t>
  </si>
  <si>
    <t>Bangkok Free Trade Zone 6 warehouse/factory buildings (50,748  sqm across Bangna-Trad Km.23, Theparak Road, Bangna-Trad Km.19)</t>
  </si>
  <si>
    <t>3 community mall projects: The Zone Town-in-Town, Samai Avenue, Chan @ The Avenue (Bangkok area)</t>
  </si>
  <si>
    <t>Capital Increase (PO) (185M units) / Debt up to THB 2,000M</t>
  </si>
  <si>
    <t>Capital Increase (PO) (450M units) / Debt up to THB 2,000M</t>
  </si>
  <si>
    <t>AIM Commercial Growth Freehold and Leasehold Real Estate Investment Trust</t>
  </si>
  <si>
    <t>AIMCG</t>
  </si>
  <si>
    <t>Leasehold in Village Hub Ratchapreuk Project located in Bang Phlap Sub-District, Pak Kret District, Nonthaburi Province, with 6,601 sqm</t>
  </si>
  <si>
    <t>Quality Houses Hotel and Residence Freehold and Leasehold Real Estate Investment Trust</t>
  </si>
  <si>
    <t>QHHREIT</t>
  </si>
  <si>
    <t>Hospitality / Residence</t>
  </si>
  <si>
    <t>Leasehold rights of the building in the Centre Point Chidlom Project commencing from 1 June 2026 to 31 May 2056,  22,360.55 sqm</t>
  </si>
  <si>
    <t>Capital Increase (PO) (130.2M units) / Debt up to THB 1,000M</t>
  </si>
  <si>
    <t>MFC Industrial Investment Freehold and Leasehold Real Estate Investment Trust</t>
  </si>
  <si>
    <t>MII</t>
  </si>
  <si>
    <t>Freehold of land and factory
buildings with office space and other structures located on such land, including components of such land and buildings, located at the Green Park 1 Project (60,611.70 sqm)</t>
  </si>
  <si>
    <t>Capital Increase (PO) (90M units) / Debt up to THB 1,000M</t>
  </si>
  <si>
    <t>Industrial: Pinthong Project No. 3
Ownership of Land &amp; Factory/Warehouse buildings (Freehold)</t>
  </si>
  <si>
    <t>Report Date: 
- 1st Sep 17 : 1466.9M
- 2nd Nov 28: 218.8M
- 3rd Dec 18: 234.9M
Plan Announced: Aug 20 THB 1920M</t>
  </si>
  <si>
    <t>Total</t>
  </si>
  <si>
    <t>Bangkok Free Trade Zone 4 warehouse/factory buildings (187,949 sqm across Bangna-Trad Km.23, Theparak Road, Bangna-Trad Km.19) (60 years)</t>
  </si>
  <si>
    <t>Count</t>
  </si>
  <si>
    <t>DTPBB</t>
  </si>
  <si>
    <t>DTP Hotel and Service Apartment Leasehold Real Estate Investment Trust with Conditions and Termination Periods</t>
  </si>
  <si>
    <t xml:space="preserve">โครงการโรงแรม
วอลดอร์ฟ แอสโทเรีย กรุงเทพฯ และเซอร์วิส อพาร์ทเมนท์ MRB </t>
  </si>
  <si>
    <t>IPO 3114 / Debt (1000)</t>
  </si>
  <si>
    <t>เข้าลงทุนแล้ว 8 Dec 25</t>
  </si>
  <si>
    <t>เข้าลงทุนแล้ว 23 Dec 25</t>
  </si>
  <si>
    <t>Industrial: ALPHA Bangna KM.22
 Land &amp; Factory/Warehouse buildings (leasehold)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</si>
</sst>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0" fillId="0" borderId="0" xfId="0" applyAlignment="1">
      <alignment horizontal="right" vertical="top" wrapText="1"/>
    </xf>
    <xf numFmtId="15" fontId="0" fillId="0" borderId="0" xfId="0" applyNumberFormat="1" applyAlignment="1">
      <alignment vertical="top" wrapText="1"/>
    </xf>
    <xf numFmtId="0" fontId="2" fillId="0" borderId="0" xfId="0" applyFont="1"/>
    <xf numFmtId="0" fontId="1" fillId="0" borderId="0" xfId="0" applyFont="1" applyAlignment="1">
      <alignment horizontal="right"/>
    </xf>
    <xf numFmtId="4" fontId="1" fillId="0" borderId="0" xfId="0" applyNumberFormat="1" applyFont="1"/>
    <xf numFmtId="3" fontId="1" fillId="0" borderId="0" xfId="0" applyNumberFormat="1" applyFont="1"/>
    <xf numFmtId="0" fontId="0" fillId="2" borderId="1" xfId="0" applyFill="1" applyBorder="1" applyAlignment="1">
      <alignment vertical="top" wrapText="1"/>
    </xf>
    <xf numFmtId="3" fontId="0" fillId="0" borderId="0" xfId="0" applyNumberFormat="1"/>
  </cellXfs>
  <cellStyles count="1">
    <cellStyle name="Normal" xfId="0" builtinId="0"/>
  </cellStyles>
  <dxfs count="13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" formatCode="#,##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04A95-0B0C-44DB-BD44-F8E0BD23766B}" name="Table1" displayName="Table1" ref="A3:K21" totalsRowShown="0" headerRowDxfId="12" dataDxfId="11">
  <autoFilter ref="A3:K21" xr:uid="{8F604A95-0B0C-44DB-BD44-F8E0BD23766B}">
    <filterColumn colId="5">
      <filters>
        <filter val="Completed"/>
      </filters>
    </filterColumn>
  </autoFilter>
  <tableColumns count="11">
    <tableColumn id="1" xr3:uid="{42ADCC34-2D35-485D-BE19-D306F6F8AE9A}" name="REIT Name" dataDxfId="10"/>
    <tableColumn id="2" xr3:uid="{99D8AE29-0E99-4935-8B2C-0DFABE4422DB}" name="Symbol" dataDxfId="9"/>
    <tableColumn id="11" xr3:uid="{CC3CFD2E-E544-48AA-8363-2CB64FFE7E49}" name="Industry" dataDxfId="8"/>
    <tableColumn id="3" xr3:uid="{9D1D927D-BCF4-40F1-811E-75CFACA6091D}" name="Transaction Type" dataDxfId="7"/>
    <tableColumn id="10" xr3:uid="{EDFF57BE-BC41-43BD-BB3C-58C67A04B8A8}" name="Seller" dataDxfId="6"/>
    <tableColumn id="4" xr3:uid="{9081A7FB-32BE-4EFC-9485-E979C2ADA523}" name="Status" dataDxfId="5"/>
    <tableColumn id="5" xr3:uid="{A71E7FEE-23B5-4A42-B9FF-77F6A7AC761B}" name="Asset Details / Project Name" dataDxfId="4"/>
    <tableColumn id="12" xr3:uid="{EE0A8E2D-159F-4164-9E64-AB49353FC1F6}" name="Additional Asset Acquisition No." dataDxfId="3"/>
    <tableColumn id="6" xr3:uid="{EF6A3019-2BB1-49F0-942B-685283172E3D}" name="Transaction Size / Value in THB mn" dataDxfId="2"/>
    <tableColumn id="7" xr3:uid="{8362BD20-F3CA-4F4F-A7FF-36604FA57F8F}" name="Funding Method" dataDxfId="1"/>
    <tableColumn id="8" xr3:uid="{84D4A377-569D-4943-9F82-2B20BC415ADE}" name="Key Dates (2025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2ECB-851C-4DA2-9515-1FD656375AE3}">
  <dimension ref="A1:M27"/>
  <sheetViews>
    <sheetView showGridLines="0" tabSelected="1" topLeftCell="A5" zoomScale="85" zoomScaleNormal="85" workbookViewId="0">
      <selection activeCell="H12" sqref="H12"/>
    </sheetView>
  </sheetViews>
  <sheetFormatPr defaultColWidth="8.86328125" defaultRowHeight="14.25" x14ac:dyDescent="0.45"/>
  <cols>
    <col min="1" max="1" width="36.265625" bestFit="1" customWidth="1"/>
    <col min="2" max="2" width="9.265625" bestFit="1" customWidth="1"/>
    <col min="3" max="3" width="10.265625" bestFit="1" customWidth="1"/>
    <col min="4" max="4" width="16.73046875" bestFit="1" customWidth="1"/>
    <col min="5" max="5" width="9.73046875" bestFit="1" customWidth="1"/>
    <col min="6" max="6" width="15.73046875" bestFit="1" customWidth="1"/>
    <col min="7" max="7" width="37" customWidth="1"/>
    <col min="8" max="11" width="30.73046875" customWidth="1"/>
    <col min="13" max="13" width="29.3984375" customWidth="1"/>
  </cols>
  <sheetData>
    <row r="1" spans="1:13" ht="21" x14ac:dyDescent="0.65">
      <c r="A1" s="6" t="s">
        <v>0</v>
      </c>
    </row>
    <row r="3" spans="1:13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3" ht="80.25" hidden="1" customHeight="1" x14ac:dyDescent="0.4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>
        <v>0</v>
      </c>
      <c r="I4" s="3">
        <v>6500</v>
      </c>
      <c r="J4" s="2" t="s">
        <v>19</v>
      </c>
      <c r="K4" s="2" t="s">
        <v>20</v>
      </c>
    </row>
    <row r="5" spans="1:13" ht="57" x14ac:dyDescent="0.45">
      <c r="A5" s="2" t="s">
        <v>21</v>
      </c>
      <c r="B5" s="2" t="s">
        <v>22</v>
      </c>
      <c r="C5" s="2" t="s">
        <v>23</v>
      </c>
      <c r="D5" s="2" t="s">
        <v>24</v>
      </c>
      <c r="E5" s="2" t="s">
        <v>16</v>
      </c>
      <c r="F5" s="2" t="s">
        <v>31</v>
      </c>
      <c r="G5" s="2" t="s">
        <v>25</v>
      </c>
      <c r="H5" s="4" t="s">
        <v>26</v>
      </c>
      <c r="I5" s="3">
        <v>1685.7</v>
      </c>
      <c r="J5" s="2" t="s">
        <v>33</v>
      </c>
      <c r="K5" s="2" t="s">
        <v>27</v>
      </c>
    </row>
    <row r="6" spans="1:13" ht="50.25" customHeight="1" x14ac:dyDescent="0.45">
      <c r="A6" s="2" t="s">
        <v>28</v>
      </c>
      <c r="B6" s="2" t="s">
        <v>29</v>
      </c>
      <c r="C6" s="2" t="s">
        <v>23</v>
      </c>
      <c r="D6" s="2" t="s">
        <v>24</v>
      </c>
      <c r="E6" s="2" t="s">
        <v>30</v>
      </c>
      <c r="F6" s="2" t="s">
        <v>31</v>
      </c>
      <c r="G6" s="2" t="s">
        <v>32</v>
      </c>
      <c r="H6" s="4" t="s">
        <v>26</v>
      </c>
      <c r="I6" s="3">
        <v>340</v>
      </c>
      <c r="J6" s="2" t="s">
        <v>33</v>
      </c>
      <c r="K6" s="5">
        <v>45895</v>
      </c>
    </row>
    <row r="7" spans="1:13" ht="65.25" customHeight="1" x14ac:dyDescent="0.45">
      <c r="A7" s="2" t="s">
        <v>34</v>
      </c>
      <c r="B7" s="2" t="s">
        <v>35</v>
      </c>
      <c r="C7" s="2" t="s">
        <v>36</v>
      </c>
      <c r="D7" s="2" t="s">
        <v>24</v>
      </c>
      <c r="E7" s="2" t="s">
        <v>30</v>
      </c>
      <c r="F7" s="2" t="s">
        <v>31</v>
      </c>
      <c r="G7" s="2" t="s">
        <v>37</v>
      </c>
      <c r="H7" s="4" t="s">
        <v>26</v>
      </c>
      <c r="I7" s="3">
        <v>14.68</v>
      </c>
      <c r="J7" s="2" t="s">
        <v>33</v>
      </c>
      <c r="K7" s="5">
        <v>45898</v>
      </c>
    </row>
    <row r="8" spans="1:13" ht="33" customHeight="1" x14ac:dyDescent="0.45">
      <c r="A8" s="2" t="s">
        <v>38</v>
      </c>
      <c r="B8" s="2" t="s">
        <v>39</v>
      </c>
      <c r="C8" s="2" t="s">
        <v>40</v>
      </c>
      <c r="D8" s="2" t="s">
        <v>41</v>
      </c>
      <c r="E8" s="2" t="s">
        <v>16</v>
      </c>
      <c r="F8" s="2" t="s">
        <v>31</v>
      </c>
      <c r="G8" s="2" t="s">
        <v>42</v>
      </c>
      <c r="H8" s="4" t="s">
        <v>26</v>
      </c>
      <c r="I8" s="3">
        <v>2345.04</v>
      </c>
      <c r="J8" s="2" t="s">
        <v>43</v>
      </c>
      <c r="K8" s="2" t="s">
        <v>44</v>
      </c>
      <c r="M8" s="10" t="s">
        <v>81</v>
      </c>
    </row>
    <row r="9" spans="1:13" ht="36" hidden="1" customHeight="1" x14ac:dyDescent="0.45">
      <c r="A9" s="2" t="s">
        <v>45</v>
      </c>
      <c r="B9" s="2" t="s">
        <v>46</v>
      </c>
      <c r="C9" s="2" t="s">
        <v>36</v>
      </c>
      <c r="D9" s="2" t="s">
        <v>24</v>
      </c>
      <c r="E9" s="2" t="s">
        <v>16</v>
      </c>
      <c r="F9" s="2" t="s">
        <v>17</v>
      </c>
      <c r="G9" s="2" t="s">
        <v>47</v>
      </c>
      <c r="H9" s="2">
        <v>1</v>
      </c>
      <c r="I9" s="3">
        <v>96</v>
      </c>
      <c r="J9" s="2" t="s">
        <v>48</v>
      </c>
      <c r="K9" s="5">
        <v>45971</v>
      </c>
      <c r="M9" s="10" t="s">
        <v>82</v>
      </c>
    </row>
    <row r="10" spans="1:13" ht="48.75" customHeight="1" x14ac:dyDescent="0.45">
      <c r="A10" s="2" t="s">
        <v>49</v>
      </c>
      <c r="B10" s="2" t="s">
        <v>50</v>
      </c>
      <c r="C10" s="2" t="s">
        <v>36</v>
      </c>
      <c r="D10" s="2" t="s">
        <v>24</v>
      </c>
      <c r="E10" s="2" t="s">
        <v>16</v>
      </c>
      <c r="F10" s="2" t="s">
        <v>31</v>
      </c>
      <c r="G10" s="2" t="s">
        <v>51</v>
      </c>
      <c r="H10" s="4" t="s">
        <v>26</v>
      </c>
      <c r="I10" s="3">
        <v>12977</v>
      </c>
      <c r="J10" s="2" t="s">
        <v>33</v>
      </c>
      <c r="K10" s="5">
        <v>45884</v>
      </c>
    </row>
    <row r="11" spans="1:13" ht="57" x14ac:dyDescent="0.45">
      <c r="A11" s="2" t="s">
        <v>52</v>
      </c>
      <c r="B11" s="2" t="s">
        <v>53</v>
      </c>
      <c r="C11" s="2" t="s">
        <v>23</v>
      </c>
      <c r="D11" s="2" t="s">
        <v>41</v>
      </c>
      <c r="E11" s="2" t="s">
        <v>16</v>
      </c>
      <c r="F11" s="2" t="s">
        <v>31</v>
      </c>
      <c r="G11" s="2" t="s">
        <v>54</v>
      </c>
      <c r="H11" s="2">
        <v>3</v>
      </c>
      <c r="I11" s="3">
        <v>3210</v>
      </c>
      <c r="J11" s="2" t="s">
        <v>55</v>
      </c>
      <c r="K11" s="5">
        <v>45813</v>
      </c>
    </row>
    <row r="12" spans="1:13" ht="42.75" x14ac:dyDescent="0.45">
      <c r="A12" s="2" t="s">
        <v>52</v>
      </c>
      <c r="B12" s="2" t="s">
        <v>53</v>
      </c>
      <c r="C12" s="2" t="s">
        <v>23</v>
      </c>
      <c r="D12" s="2" t="s">
        <v>24</v>
      </c>
      <c r="E12" s="2" t="s">
        <v>16</v>
      </c>
      <c r="F12" s="2" t="s">
        <v>31</v>
      </c>
      <c r="G12" s="2" t="s">
        <v>56</v>
      </c>
      <c r="H12" s="2">
        <v>4</v>
      </c>
      <c r="I12" s="3">
        <v>970</v>
      </c>
      <c r="J12" s="2" t="s">
        <v>33</v>
      </c>
      <c r="K12" s="5">
        <v>45961</v>
      </c>
    </row>
    <row r="13" spans="1:13" ht="42.75" hidden="1" x14ac:dyDescent="0.45">
      <c r="A13" s="2" t="s">
        <v>34</v>
      </c>
      <c r="B13" s="2" t="s">
        <v>35</v>
      </c>
      <c r="C13" s="2" t="s">
        <v>36</v>
      </c>
      <c r="D13" s="2" t="s">
        <v>41</v>
      </c>
      <c r="E13" s="2" t="s">
        <v>30</v>
      </c>
      <c r="F13" s="2" t="s">
        <v>17</v>
      </c>
      <c r="G13" s="2" t="s">
        <v>57</v>
      </c>
      <c r="H13" s="4" t="s">
        <v>26</v>
      </c>
      <c r="I13" s="3">
        <v>1570</v>
      </c>
      <c r="J13" s="2" t="s">
        <v>58</v>
      </c>
      <c r="K13" s="5">
        <v>45877</v>
      </c>
    </row>
    <row r="14" spans="1:13" ht="57" hidden="1" x14ac:dyDescent="0.45">
      <c r="A14" s="2" t="s">
        <v>52</v>
      </c>
      <c r="B14" s="2" t="s">
        <v>53</v>
      </c>
      <c r="C14" s="2" t="s">
        <v>23</v>
      </c>
      <c r="D14" s="2" t="s">
        <v>41</v>
      </c>
      <c r="E14" s="2" t="s">
        <v>16</v>
      </c>
      <c r="F14" s="2" t="s">
        <v>17</v>
      </c>
      <c r="G14" s="2" t="s">
        <v>75</v>
      </c>
      <c r="H14" s="2">
        <v>5</v>
      </c>
      <c r="I14" s="3">
        <v>5040</v>
      </c>
      <c r="J14" s="2" t="s">
        <v>59</v>
      </c>
      <c r="K14" s="5">
        <v>45989</v>
      </c>
    </row>
    <row r="15" spans="1:13" ht="42.75" x14ac:dyDescent="0.45">
      <c r="A15" s="2" t="s">
        <v>60</v>
      </c>
      <c r="B15" s="2" t="s">
        <v>61</v>
      </c>
      <c r="C15" s="2" t="s">
        <v>36</v>
      </c>
      <c r="D15" s="2" t="s">
        <v>24</v>
      </c>
      <c r="E15" s="2" t="s">
        <v>30</v>
      </c>
      <c r="F15" s="2" t="s">
        <v>31</v>
      </c>
      <c r="G15" s="2" t="s">
        <v>62</v>
      </c>
      <c r="H15" s="2">
        <v>2</v>
      </c>
      <c r="I15" s="3">
        <v>157</v>
      </c>
      <c r="J15" s="2" t="s">
        <v>33</v>
      </c>
      <c r="K15" s="5">
        <v>45981</v>
      </c>
    </row>
    <row r="16" spans="1:13" ht="85.5" hidden="1" x14ac:dyDescent="0.45">
      <c r="A16" s="2" t="s">
        <v>68</v>
      </c>
      <c r="B16" s="2" t="s">
        <v>69</v>
      </c>
      <c r="C16" s="2" t="s">
        <v>23</v>
      </c>
      <c r="D16" s="2" t="s">
        <v>41</v>
      </c>
      <c r="E16" s="2" t="s">
        <v>16</v>
      </c>
      <c r="F16" s="2" t="s">
        <v>17</v>
      </c>
      <c r="G16" s="2" t="s">
        <v>70</v>
      </c>
      <c r="H16" s="2">
        <v>1</v>
      </c>
      <c r="I16" s="3">
        <v>1455</v>
      </c>
      <c r="J16" s="2" t="s">
        <v>71</v>
      </c>
      <c r="K16" s="5">
        <v>45961</v>
      </c>
    </row>
    <row r="17" spans="1:11" ht="42.75" hidden="1" x14ac:dyDescent="0.45">
      <c r="A17" s="2" t="s">
        <v>63</v>
      </c>
      <c r="B17" s="2" t="s">
        <v>64</v>
      </c>
      <c r="C17" s="2" t="s">
        <v>65</v>
      </c>
      <c r="D17" s="2" t="s">
        <v>41</v>
      </c>
      <c r="E17" s="2" t="s">
        <v>16</v>
      </c>
      <c r="F17" s="2" t="s">
        <v>17</v>
      </c>
      <c r="G17" s="2" t="s">
        <v>66</v>
      </c>
      <c r="H17" s="2">
        <v>1</v>
      </c>
      <c r="I17" s="3">
        <v>1233.5</v>
      </c>
      <c r="J17" s="2" t="s">
        <v>67</v>
      </c>
      <c r="K17" s="5">
        <v>45854</v>
      </c>
    </row>
    <row r="18" spans="1:11" ht="71.25" x14ac:dyDescent="0.45">
      <c r="A18" s="2" t="s">
        <v>21</v>
      </c>
      <c r="B18" s="2" t="s">
        <v>22</v>
      </c>
      <c r="C18" s="2" t="s">
        <v>23</v>
      </c>
      <c r="D18" s="2" t="s">
        <v>24</v>
      </c>
      <c r="E18" s="2" t="s">
        <v>16</v>
      </c>
      <c r="F18" s="2" t="s">
        <v>31</v>
      </c>
      <c r="G18" s="2" t="s">
        <v>25</v>
      </c>
      <c r="H18" s="4" t="s">
        <v>26</v>
      </c>
      <c r="I18" s="3">
        <v>235.9</v>
      </c>
      <c r="J18" s="2" t="s">
        <v>33</v>
      </c>
      <c r="K18" s="2" t="s">
        <v>73</v>
      </c>
    </row>
    <row r="19" spans="1:11" ht="42.75" x14ac:dyDescent="0.45">
      <c r="A19" s="2" t="s">
        <v>28</v>
      </c>
      <c r="B19" s="2" t="s">
        <v>29</v>
      </c>
      <c r="C19" s="2" t="s">
        <v>23</v>
      </c>
      <c r="D19" s="2" t="s">
        <v>24</v>
      </c>
      <c r="E19" s="2" t="s">
        <v>30</v>
      </c>
      <c r="F19" s="2" t="s">
        <v>31</v>
      </c>
      <c r="G19" s="2" t="s">
        <v>72</v>
      </c>
      <c r="H19" s="4" t="s">
        <v>26</v>
      </c>
      <c r="I19" s="3">
        <v>435</v>
      </c>
      <c r="J19" s="2" t="s">
        <v>33</v>
      </c>
      <c r="K19" s="5">
        <v>46010</v>
      </c>
    </row>
    <row r="20" spans="1:11" ht="42.75" x14ac:dyDescent="0.45">
      <c r="A20" s="2" t="s">
        <v>78</v>
      </c>
      <c r="B20" s="2" t="s">
        <v>77</v>
      </c>
      <c r="C20" s="2" t="s">
        <v>14</v>
      </c>
      <c r="D20" s="2" t="s">
        <v>15</v>
      </c>
      <c r="E20" s="2" t="s">
        <v>16</v>
      </c>
      <c r="F20" s="2" t="s">
        <v>31</v>
      </c>
      <c r="G20" s="2" t="s">
        <v>79</v>
      </c>
      <c r="H20" s="2">
        <v>1</v>
      </c>
      <c r="I20" s="3">
        <v>4114</v>
      </c>
      <c r="J20" s="2" t="s">
        <v>80</v>
      </c>
      <c r="K20" s="5">
        <v>45994</v>
      </c>
    </row>
    <row r="21" spans="1:11" ht="42.75" x14ac:dyDescent="0.45">
      <c r="A21" s="2" t="s">
        <v>28</v>
      </c>
      <c r="B21" s="2" t="s">
        <v>29</v>
      </c>
      <c r="C21" s="2" t="s">
        <v>23</v>
      </c>
      <c r="D21" s="2" t="s">
        <v>24</v>
      </c>
      <c r="E21" s="2" t="s">
        <v>30</v>
      </c>
      <c r="F21" s="2" t="s">
        <v>31</v>
      </c>
      <c r="G21" s="2" t="s">
        <v>83</v>
      </c>
      <c r="H21" s="4" t="s">
        <v>26</v>
      </c>
      <c r="I21" s="3">
        <v>660</v>
      </c>
      <c r="J21" s="2" t="s">
        <v>33</v>
      </c>
      <c r="K21" s="5">
        <v>46017</v>
      </c>
    </row>
    <row r="22" spans="1:11" x14ac:dyDescent="0.45">
      <c r="A22" s="2"/>
      <c r="B22" s="2"/>
      <c r="C22" s="2"/>
      <c r="D22" s="2"/>
      <c r="E22" s="2"/>
      <c r="F22" s="2"/>
      <c r="G22" s="2"/>
      <c r="H22" s="4"/>
      <c r="I22" s="3"/>
      <c r="J22" s="2"/>
      <c r="K22" s="5"/>
    </row>
    <row r="23" spans="1:11" x14ac:dyDescent="0.45">
      <c r="H23" s="7" t="s">
        <v>74</v>
      </c>
      <c r="I23" s="8">
        <f>SUBTOTAL(9,Table1[Transaction Size / Value in THB mn])</f>
        <v>27144.32</v>
      </c>
    </row>
    <row r="24" spans="1:11" x14ac:dyDescent="0.45">
      <c r="H24" s="7" t="s">
        <v>76</v>
      </c>
      <c r="I24" s="9">
        <f>SUBTOTAL(2,Table1[Transaction Size / Value in THB mn])</f>
        <v>12</v>
      </c>
    </row>
    <row r="27" spans="1:11" x14ac:dyDescent="0.45">
      <c r="I27" s="11">
        <f>+I6+I19+I21</f>
        <v>1435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reit-transaction-2025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Santiparp</dc:creator>
  <cp:keywords/>
  <dc:description/>
  <cp:lastModifiedBy>Santiparp</cp:lastModifiedBy>
  <cp:revision/>
  <dcterms:created xsi:type="dcterms:W3CDTF">2025-12-15T04:35:22Z</dcterms:created>
  <dcterms:modified xsi:type="dcterms:W3CDTF">2026-02-16T03:57:08Z</dcterms:modified>
  <cp:category/>
  <cp:contentStatus/>
</cp:coreProperties>
</file>